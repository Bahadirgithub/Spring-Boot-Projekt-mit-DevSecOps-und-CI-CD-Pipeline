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ariu\Desktop\"/>
    </mc:Choice>
  </mc:AlternateContent>
  <xr:revisionPtr revIDLastSave="0" documentId="13_ncr:1_{B2DEA921-3E5B-491D-8A47-01AB4670439B}" xr6:coauthVersionLast="47" xr6:coauthVersionMax="47" xr10:uidLastSave="{00000000-0000-0000-0000-000000000000}"/>
  <bookViews>
    <workbookView xWindow="-120" yWindow="-120" windowWidth="29040" windowHeight="15720" xr2:uid="{05E0783D-521D-4A9A-8D87-C15D8B4993D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U2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" i="1"/>
  <c r="T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U21" i="1" l="1"/>
</calcChain>
</file>

<file path=xl/sharedStrings.xml><?xml version="1.0" encoding="utf-8"?>
<sst xmlns="http://schemas.openxmlformats.org/spreadsheetml/2006/main" count="179" uniqueCount="45">
  <si>
    <t>Matrix</t>
  </si>
  <si>
    <t>TA1</t>
  </si>
  <si>
    <t>TA2</t>
  </si>
  <si>
    <t>TA3</t>
  </si>
  <si>
    <t>TA4</t>
  </si>
  <si>
    <t>TA5</t>
  </si>
  <si>
    <t>TA6</t>
  </si>
  <si>
    <t>TA7</t>
  </si>
  <si>
    <t>TA8</t>
  </si>
  <si>
    <t>TA9</t>
  </si>
  <si>
    <t>TA10</t>
  </si>
  <si>
    <t>TA11</t>
  </si>
  <si>
    <t>FA1</t>
  </si>
  <si>
    <t>FA2</t>
  </si>
  <si>
    <t>FA3</t>
  </si>
  <si>
    <t>FA4</t>
  </si>
  <si>
    <t>FA5</t>
  </si>
  <si>
    <t>FA6</t>
  </si>
  <si>
    <t>FA7</t>
  </si>
  <si>
    <t>FA8</t>
  </si>
  <si>
    <t>Summe B:</t>
  </si>
  <si>
    <t>Utility Tree</t>
  </si>
  <si>
    <t>Registrierung</t>
  </si>
  <si>
    <t>Manueller Akzeptanztest</t>
  </si>
  <si>
    <t>Implementierung vom Log-In</t>
  </si>
  <si>
    <t>x</t>
  </si>
  <si>
    <t>Fortschrittsgradanalyse</t>
  </si>
  <si>
    <t>Implementierung vom Log-Out</t>
  </si>
  <si>
    <t>ER-Diagramm</t>
  </si>
  <si>
    <t>Profil Bearbeitung</t>
  </si>
  <si>
    <t>UML-Diagramm</t>
  </si>
  <si>
    <t>Als Start-Up Studenten suchen</t>
  </si>
  <si>
    <t>OOA-Diagramm</t>
  </si>
  <si>
    <t>Als Start-Up Gründungsideen einreichen</t>
  </si>
  <si>
    <t>JUnit-Test für Registrierung</t>
  </si>
  <si>
    <t>Bewerbung bei Startups als Student</t>
  </si>
  <si>
    <t>JUnit-Test für Datenbankanbindung</t>
  </si>
  <si>
    <t>Bewertung und kommentierung von Gründungsideen</t>
  </si>
  <si>
    <t>Baustein-Sicht</t>
  </si>
  <si>
    <t>Zwischenpräsentation</t>
  </si>
  <si>
    <t>Datenbankanbindung</t>
  </si>
  <si>
    <t>Je Zeile gilt, das Zeilen Attribut TA2 hat als Voraussetzungen die Spalten mit x</t>
  </si>
  <si>
    <t>Summe A:</t>
  </si>
  <si>
    <t>Summe A: = Anzahl Artefakte, die erst nach der Realisierung erledigt werden können (= Einfluss (Impact), das ein Y-Artefakt ausübt)</t>
  </si>
  <si>
    <t>Summe B: = Anzahl Artefakte, die vor der Realisierung erledigt sein müssen (= Komplexität, um das X-Artefakt zu realisieren)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</si>
</sst>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BEFF1"/>
        <bgColor rgb="FFEBEFF1"/>
      </patternFill>
    </fill>
    <fill>
      <patternFill patternType="solid">
        <fgColor theme="7" tint="0.59999389629810485"/>
        <bgColor rgb="FF156082"/>
      </patternFill>
    </fill>
    <fill>
      <patternFill patternType="solid">
        <fgColor theme="7" tint="0.59999389629810485"/>
        <bgColor theme="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3" fillId="0" borderId="0" xfId="0" applyFont="1"/>
    <xf numFmtId="0" fontId="1" fillId="3" borderId="0" xfId="0" applyFont="1" applyFill="1"/>
    <xf numFmtId="0" fontId="1" fillId="2" borderId="0" xfId="0" applyFont="1" applyFill="1"/>
    <xf numFmtId="0" fontId="4" fillId="5" borderId="0" xfId="0" applyFont="1" applyFill="1"/>
    <xf numFmtId="0" fontId="5" fillId="4" borderId="0" xfId="0" applyFont="1" applyFill="1"/>
    <xf numFmtId="0" fontId="0" fillId="6" borderId="0" xfId="0" applyFill="1"/>
    <xf numFmtId="0" fontId="6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7" fillId="0" borderId="0" xfId="0" applyFont="1"/>
  </cellXfs>
  <cellStyles count="2">
    <cellStyle name="Standard" xfId="0" builtinId="0"/>
    <cellStyle name="Standard 2" xfId="1" xr:uid="{866CEA2D-7F24-48F3-9DA6-6141B05424D8}"/>
  </cellStyles>
  <dxfs count="41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2060"/>
          <bgColor rgb="FF00206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2" defaultPivotStyle="PivotStyleLight16">
    <tableStyle name="ALDAlescence --&gt;-style" pivot="0" count="3" xr9:uid="{12FAA720-110B-4EE6-830A-372055D54315}">
      <tableStyleElement type="headerRow" dxfId="40"/>
      <tableStyleElement type="firstRowStripe" dxfId="39"/>
      <tableStyleElement type="secondRowStripe" dxfId="38"/>
    </tableStyle>
    <tableStyle name="ProductBacklog-style" pivot="0" count="3" xr9:uid="{9F11A272-5327-43DE-90DB-1C532164E62E}">
      <tableStyleElement type="headerRow" dxfId="37"/>
      <tableStyleElement type="firstRowStripe" dxfId="36"/>
      <tableStyleElement type="secondRowStripe" dxfId="35"/>
    </tableStyle>
    <tableStyle name="ProductBacklog-style 2" pivot="0" count="2" xr9:uid="{46FE7515-21E8-4C72-8A57-380F3155B117}">
      <tableStyleElement type="firstRowStripe" dxfId="34"/>
      <tableStyleElement type="secondRowStripe" dxfId="33"/>
    </tableStyle>
    <tableStyle name="NeuProductBacklog-style" pivot="0" count="3" xr9:uid="{6CA26DD7-61B6-4399-94E0-45150BC16C28}">
      <tableStyleElement type="headerRow" dxfId="32"/>
      <tableStyleElement type="firstRowStripe" dxfId="31"/>
      <tableStyleElement type="secondRowStripe" dxfId="30"/>
    </tableStyle>
    <tableStyle name="Anforderungsartefakte-style" pivot="0" count="3" xr9:uid="{0DBA09A8-1A2F-4B9B-8ED1-4F6F3DD7E5D0}">
      <tableStyleElement type="headerRow" dxfId="29"/>
      <tableStyleElement type="firstRowStripe" dxfId="28"/>
      <tableStyleElement type="secondRowStripe" dxfId="27"/>
    </tableStyle>
    <tableStyle name="RequirementsMatrix-style" pivot="0" count="3" xr9:uid="{A127AE31-65E2-4BDD-9BAD-2A77EA1D0E92}">
      <tableStyleElement type="headerRow" dxfId="26"/>
      <tableStyleElement type="firstRowStripe" dxfId="25"/>
      <tableStyleElement type="secondRowStripe" dxfId="24"/>
    </tableStyle>
    <tableStyle name="Persona-style" pivot="0" count="3" xr9:uid="{C729135C-2C35-4B0C-A4E2-598D7662B2A6}">
      <tableStyleElement type="headerRow" dxfId="23"/>
      <tableStyleElement type="firstRowStripe" dxfId="22"/>
      <tableStyleElement type="secondRowStripe" dxfId="21"/>
    </tableStyle>
    <tableStyle name="Persona-style 2" pivot="0" count="3" xr9:uid="{2071C20C-F99A-4D66-BC22-D2620B21B840}">
      <tableStyleElement type="headerRow" dxfId="20"/>
      <tableStyleElement type="firstRowStripe" dxfId="19"/>
      <tableStyleElement type="secondRowStripe" dxfId="18"/>
    </tableStyle>
    <tableStyle name="Journey Map-style" pivot="0" count="3" xr9:uid="{E525FFE7-73A1-4EFD-965E-7EF82A6E35CC}">
      <tableStyleElement type="headerRow" dxfId="17"/>
      <tableStyleElement type="firstRowStripe" dxfId="16"/>
      <tableStyleElement type="secondRowStripe" dxfId="15"/>
    </tableStyle>
    <tableStyle name="Stakeholder-Analyse-style" pivot="0" count="3" xr9:uid="{BD2DF3FB-C88C-4F31-B32F-5D833FA3830A}">
      <tableStyleElement type="headerRow" dxfId="14"/>
      <tableStyleElement type="firstRowStripe" dxfId="13"/>
      <tableStyleElement type="secondRowStripe" dxfId="12"/>
    </tableStyle>
    <tableStyle name="Definition of Done-style" pivot="0" count="3" xr9:uid="{FC40FB93-332F-4E8C-BE8A-6FAA48EDA809}">
      <tableStyleElement type="headerRow" dxfId="11"/>
      <tableStyleElement type="firstRowStripe" dxfId="10"/>
      <tableStyleElement type="secondRowStripe" dxfId="9"/>
    </tableStyle>
    <tableStyle name="EVA-style" pivot="0" count="3" xr9:uid="{9E0AA0E0-3A55-424E-8DF2-B79057EB434E}">
      <tableStyleElement type="headerRow" dxfId="8"/>
      <tableStyleElement type="firstRowStripe" dxfId="7"/>
      <tableStyleElement type="secondRowStripe" dxfId="6"/>
    </tableStyle>
    <tableStyle name="SUS Score Berechnung-style" pivot="0" count="3" xr9:uid="{3EBD1C83-793A-4A7B-91D2-6F94FB3DC036}">
      <tableStyleElement type="headerRow" dxfId="5"/>
      <tableStyleElement type="firstRowStripe" dxfId="4"/>
      <tableStyleElement type="secondRowStripe" dxfId="3"/>
    </tableStyle>
    <tableStyle name="SUS Score Berechnung-style 2" pivot="0" count="3" xr9:uid="{F9DD8C9D-51B6-4740-856C-F9F7816AE478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39F7-2768-4704-80CB-34FF304B609C}">
  <dimension ref="A1:AB25"/>
  <sheetViews>
    <sheetView tabSelected="1" zoomScaleNormal="100" workbookViewId="0">
      <selection activeCell="S22" sqref="S22"/>
    </sheetView>
  </sheetViews>
  <sheetFormatPr defaultColWidth="11.42578125" defaultRowHeight="15"/>
  <cols>
    <col min="1" max="1" width="12.28515625" customWidth="1"/>
    <col min="2" max="20" width="5.5703125" customWidth="1"/>
    <col min="21" max="21" width="12.140625" customWidth="1"/>
  </cols>
  <sheetData>
    <row r="1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W1" t="s">
        <v>1</v>
      </c>
      <c r="X1" t="s">
        <v>21</v>
      </c>
      <c r="AA1" t="s">
        <v>12</v>
      </c>
      <c r="AB1" t="s">
        <v>22</v>
      </c>
    </row>
    <row r="2" spans="1:28">
      <c r="A2" s="5" t="s">
        <v>1</v>
      </c>
      <c r="B2" s="7"/>
      <c r="C2" s="7"/>
      <c r="D2" s="7"/>
      <c r="E2" s="8"/>
      <c r="F2" s="8"/>
      <c r="G2" s="7"/>
      <c r="H2" s="8"/>
      <c r="I2" s="8"/>
      <c r="J2" s="8"/>
      <c r="K2" s="8"/>
      <c r="L2" s="7"/>
      <c r="M2" s="8"/>
      <c r="N2" s="8"/>
      <c r="O2" s="8"/>
      <c r="P2" s="8"/>
      <c r="Q2" s="8"/>
      <c r="R2" s="8"/>
      <c r="S2" s="8"/>
      <c r="T2" s="8"/>
      <c r="U2" s="2">
        <f>COUNTIF(B2:T2, "x")</f>
        <v>0</v>
      </c>
      <c r="W2" t="s">
        <v>2</v>
      </c>
      <c r="X2" t="s">
        <v>23</v>
      </c>
      <c r="AA2" t="s">
        <v>13</v>
      </c>
      <c r="AB2" t="s">
        <v>24</v>
      </c>
    </row>
    <row r="3" spans="1:28">
      <c r="A3" s="5" t="s">
        <v>2</v>
      </c>
      <c r="B3" s="8"/>
      <c r="C3" s="7"/>
      <c r="D3" s="7"/>
      <c r="E3" s="8"/>
      <c r="F3" s="7"/>
      <c r="G3" s="7"/>
      <c r="H3" s="8"/>
      <c r="I3" s="8"/>
      <c r="J3" s="8"/>
      <c r="K3" s="8"/>
      <c r="L3" s="7"/>
      <c r="M3" s="8" t="s">
        <v>25</v>
      </c>
      <c r="N3" s="8"/>
      <c r="O3" s="8"/>
      <c r="P3" s="8"/>
      <c r="Q3" s="8"/>
      <c r="R3" s="8"/>
      <c r="S3" s="8"/>
      <c r="T3" s="8"/>
      <c r="U3" s="2">
        <f t="shared" ref="U3:U19" si="0">COUNTIF(B3:T3, "x")</f>
        <v>1</v>
      </c>
      <c r="W3" t="s">
        <v>3</v>
      </c>
      <c r="X3" t="s">
        <v>26</v>
      </c>
      <c r="AA3" t="s">
        <v>14</v>
      </c>
      <c r="AB3" t="s">
        <v>27</v>
      </c>
    </row>
    <row r="4" spans="1:28">
      <c r="A4" s="5" t="s">
        <v>3</v>
      </c>
      <c r="B4" s="7"/>
      <c r="C4" s="7"/>
      <c r="D4" s="7"/>
      <c r="E4" s="8"/>
      <c r="F4" s="7"/>
      <c r="G4" s="7"/>
      <c r="H4" s="8"/>
      <c r="I4" s="8"/>
      <c r="J4" s="8"/>
      <c r="K4" s="8"/>
      <c r="L4" s="7"/>
      <c r="M4" s="8" t="s">
        <v>25</v>
      </c>
      <c r="N4" s="8" t="s">
        <v>25</v>
      </c>
      <c r="O4" s="8" t="s">
        <v>25</v>
      </c>
      <c r="P4" s="8" t="s">
        <v>25</v>
      </c>
      <c r="Q4" s="8" t="s">
        <v>25</v>
      </c>
      <c r="R4" s="8" t="s">
        <v>25</v>
      </c>
      <c r="S4" s="8" t="s">
        <v>25</v>
      </c>
      <c r="T4" s="8" t="s">
        <v>25</v>
      </c>
      <c r="U4" s="2">
        <f t="shared" si="0"/>
        <v>8</v>
      </c>
      <c r="W4" t="s">
        <v>4</v>
      </c>
      <c r="X4" t="s">
        <v>28</v>
      </c>
      <c r="AA4" t="s">
        <v>15</v>
      </c>
      <c r="AB4" t="s">
        <v>29</v>
      </c>
    </row>
    <row r="5" spans="1:28">
      <c r="A5" s="5" t="s">
        <v>4</v>
      </c>
      <c r="B5" s="7"/>
      <c r="C5" s="7"/>
      <c r="D5" s="7"/>
      <c r="E5" s="7"/>
      <c r="F5" s="7"/>
      <c r="G5" s="7"/>
      <c r="H5" s="8"/>
      <c r="I5" s="7"/>
      <c r="J5" s="7"/>
      <c r="K5" s="7"/>
      <c r="L5" s="7"/>
      <c r="M5" s="7"/>
      <c r="N5" s="8"/>
      <c r="O5" s="7"/>
      <c r="P5" s="7"/>
      <c r="Q5" s="7"/>
      <c r="R5" s="7"/>
      <c r="S5" s="7"/>
      <c r="T5" s="7"/>
      <c r="U5" s="2">
        <f t="shared" si="0"/>
        <v>0</v>
      </c>
      <c r="W5" t="s">
        <v>5</v>
      </c>
      <c r="X5" t="s">
        <v>30</v>
      </c>
      <c r="AA5" t="s">
        <v>16</v>
      </c>
      <c r="AB5" t="s">
        <v>31</v>
      </c>
    </row>
    <row r="6" spans="1:28">
      <c r="A6" s="5" t="s">
        <v>5</v>
      </c>
      <c r="B6" s="8"/>
      <c r="C6" s="7"/>
      <c r="D6" s="7"/>
      <c r="E6" s="8" t="s">
        <v>25</v>
      </c>
      <c r="F6" s="7"/>
      <c r="G6" s="7" t="s">
        <v>25</v>
      </c>
      <c r="H6" s="8"/>
      <c r="I6" s="8"/>
      <c r="J6" s="8"/>
      <c r="K6" s="8"/>
      <c r="L6" s="7"/>
      <c r="M6" s="8"/>
      <c r="N6" s="8"/>
      <c r="O6" s="8"/>
      <c r="P6" s="8"/>
      <c r="Q6" s="8"/>
      <c r="R6" s="8"/>
      <c r="S6" s="8"/>
      <c r="T6" s="8"/>
      <c r="U6" s="2">
        <f t="shared" si="0"/>
        <v>2</v>
      </c>
      <c r="W6" t="s">
        <v>6</v>
      </c>
      <c r="X6" t="s">
        <v>32</v>
      </c>
      <c r="AA6" t="s">
        <v>17</v>
      </c>
      <c r="AB6" t="s">
        <v>33</v>
      </c>
    </row>
    <row r="7" spans="1:28">
      <c r="A7" s="5" t="s">
        <v>6</v>
      </c>
      <c r="B7" s="8"/>
      <c r="C7" s="7"/>
      <c r="D7" s="7"/>
      <c r="E7" s="8"/>
      <c r="F7" s="7"/>
      <c r="G7" s="7"/>
      <c r="H7" s="8"/>
      <c r="I7" s="8"/>
      <c r="J7" s="8"/>
      <c r="K7" s="8"/>
      <c r="L7" s="7"/>
      <c r="M7" s="8"/>
      <c r="N7" s="8"/>
      <c r="O7" s="8"/>
      <c r="P7" s="8"/>
      <c r="Q7" s="8"/>
      <c r="R7" s="8"/>
      <c r="S7" s="8"/>
      <c r="T7" s="8"/>
      <c r="U7" s="2">
        <f t="shared" si="0"/>
        <v>0</v>
      </c>
      <c r="W7" t="s">
        <v>7</v>
      </c>
      <c r="X7" t="s">
        <v>34</v>
      </c>
      <c r="AA7" t="s">
        <v>18</v>
      </c>
      <c r="AB7" t="s">
        <v>35</v>
      </c>
    </row>
    <row r="8" spans="1:28">
      <c r="A8" s="5" t="s">
        <v>7</v>
      </c>
      <c r="B8" s="8"/>
      <c r="C8" s="7"/>
      <c r="D8" s="7"/>
      <c r="E8" s="8"/>
      <c r="F8" s="8" t="s">
        <v>25</v>
      </c>
      <c r="G8" s="7"/>
      <c r="H8" s="7"/>
      <c r="I8" s="8"/>
      <c r="J8" s="8" t="s">
        <v>25</v>
      </c>
      <c r="K8" s="8"/>
      <c r="L8" s="7" t="s">
        <v>25</v>
      </c>
      <c r="M8" s="8" t="s">
        <v>25</v>
      </c>
      <c r="N8" s="8"/>
      <c r="O8" s="8"/>
      <c r="P8" s="8"/>
      <c r="Q8" s="8"/>
      <c r="R8" s="8"/>
      <c r="S8" s="8"/>
      <c r="T8" s="8"/>
      <c r="U8" s="2">
        <f t="shared" si="0"/>
        <v>4</v>
      </c>
      <c r="W8" t="s">
        <v>8</v>
      </c>
      <c r="X8" t="s">
        <v>36</v>
      </c>
      <c r="AA8" t="s">
        <v>19</v>
      </c>
      <c r="AB8" t="s">
        <v>37</v>
      </c>
    </row>
    <row r="9" spans="1:28">
      <c r="A9" s="5" t="s">
        <v>8</v>
      </c>
      <c r="B9" s="7"/>
      <c r="C9" s="7"/>
      <c r="D9" s="7"/>
      <c r="E9" s="7" t="s">
        <v>25</v>
      </c>
      <c r="F9" s="7"/>
      <c r="G9" s="7" t="s">
        <v>25</v>
      </c>
      <c r="H9" s="7"/>
      <c r="I9" s="7"/>
      <c r="J9" s="7" t="s">
        <v>25</v>
      </c>
      <c r="K9" s="7"/>
      <c r="L9" s="7" t="s">
        <v>25</v>
      </c>
      <c r="M9" s="7"/>
      <c r="N9" s="7"/>
      <c r="O9" s="7"/>
      <c r="P9" s="7"/>
      <c r="Q9" s="7"/>
      <c r="R9" s="7"/>
      <c r="S9" s="7"/>
      <c r="T9" s="7"/>
      <c r="U9" s="2">
        <f t="shared" si="0"/>
        <v>4</v>
      </c>
      <c r="W9" t="s">
        <v>9</v>
      </c>
      <c r="X9" t="s">
        <v>38</v>
      </c>
    </row>
    <row r="10" spans="1:28">
      <c r="A10" s="5" t="s">
        <v>9</v>
      </c>
      <c r="B10" s="7"/>
      <c r="C10" s="7"/>
      <c r="D10" s="7"/>
      <c r="E10" s="7" t="s">
        <v>25</v>
      </c>
      <c r="F10" s="7" t="s">
        <v>25</v>
      </c>
      <c r="G10" s="7" t="s">
        <v>25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">
        <f t="shared" si="0"/>
        <v>3</v>
      </c>
      <c r="W10" t="s">
        <v>10</v>
      </c>
      <c r="X10" t="s">
        <v>39</v>
      </c>
    </row>
    <row r="11" spans="1:28">
      <c r="A11" s="5" t="s">
        <v>10</v>
      </c>
      <c r="B11" s="7" t="s">
        <v>25</v>
      </c>
      <c r="C11" s="7" t="s">
        <v>25</v>
      </c>
      <c r="D11" s="7" t="s">
        <v>25</v>
      </c>
      <c r="E11" s="7" t="s">
        <v>25</v>
      </c>
      <c r="F11" s="7" t="s">
        <v>25</v>
      </c>
      <c r="G11" s="7" t="s">
        <v>25</v>
      </c>
      <c r="H11" s="7" t="s">
        <v>25</v>
      </c>
      <c r="I11" s="7" t="s">
        <v>25</v>
      </c>
      <c r="J11" s="7" t="s">
        <v>25</v>
      </c>
      <c r="K11" s="7"/>
      <c r="L11" s="7" t="s">
        <v>25</v>
      </c>
      <c r="M11" s="7" t="s">
        <v>25</v>
      </c>
      <c r="N11" s="7" t="s">
        <v>25</v>
      </c>
      <c r="O11" s="7" t="s">
        <v>25</v>
      </c>
      <c r="P11" s="7" t="s">
        <v>25</v>
      </c>
      <c r="Q11" s="7" t="s">
        <v>25</v>
      </c>
      <c r="R11" s="7" t="s">
        <v>25</v>
      </c>
      <c r="S11" s="7" t="s">
        <v>25</v>
      </c>
      <c r="T11" s="7" t="s">
        <v>25</v>
      </c>
      <c r="U11" s="2">
        <f t="shared" si="0"/>
        <v>18</v>
      </c>
      <c r="W11" s="6" t="s">
        <v>11</v>
      </c>
      <c r="X11" s="6" t="s">
        <v>40</v>
      </c>
    </row>
    <row r="12" spans="1:28">
      <c r="A12" s="5" t="s">
        <v>11</v>
      </c>
      <c r="B12" s="7"/>
      <c r="C12" s="7"/>
      <c r="D12" s="7"/>
      <c r="E12" s="8" t="s">
        <v>25</v>
      </c>
      <c r="F12" s="7"/>
      <c r="G12" s="7" t="s">
        <v>25</v>
      </c>
      <c r="H12" s="7"/>
      <c r="I12" s="8"/>
      <c r="J12" s="8" t="s">
        <v>25</v>
      </c>
      <c r="K12" s="8"/>
      <c r="L12" s="7"/>
      <c r="M12" s="8"/>
      <c r="N12" s="8"/>
      <c r="O12" s="8"/>
      <c r="P12" s="8"/>
      <c r="Q12" s="8"/>
      <c r="R12" s="8"/>
      <c r="S12" s="8"/>
      <c r="T12" s="8"/>
      <c r="U12" s="2">
        <f t="shared" si="0"/>
        <v>3</v>
      </c>
    </row>
    <row r="13" spans="1:28">
      <c r="A13" s="5" t="s">
        <v>12</v>
      </c>
      <c r="B13" s="8"/>
      <c r="C13" s="7"/>
      <c r="D13" s="7"/>
      <c r="E13" s="8" t="s">
        <v>25</v>
      </c>
      <c r="F13" s="7" t="s">
        <v>25</v>
      </c>
      <c r="G13" s="7" t="s">
        <v>25</v>
      </c>
      <c r="H13" s="7"/>
      <c r="I13" s="8"/>
      <c r="J13" s="8" t="s">
        <v>25</v>
      </c>
      <c r="K13" s="8"/>
      <c r="L13" s="7" t="s">
        <v>25</v>
      </c>
      <c r="M13" s="7"/>
      <c r="N13" s="8"/>
      <c r="O13" s="8"/>
      <c r="P13" s="8"/>
      <c r="Q13" s="8"/>
      <c r="R13" s="8"/>
      <c r="S13" s="8"/>
      <c r="T13" s="8"/>
      <c r="U13" s="2">
        <f t="shared" si="0"/>
        <v>5</v>
      </c>
    </row>
    <row r="14" spans="1:28">
      <c r="A14" s="5" t="s">
        <v>13</v>
      </c>
      <c r="B14" s="7"/>
      <c r="C14" s="7"/>
      <c r="D14" s="7"/>
      <c r="E14" s="8" t="s">
        <v>25</v>
      </c>
      <c r="F14" s="7" t="s">
        <v>25</v>
      </c>
      <c r="G14" s="7" t="s">
        <v>25</v>
      </c>
      <c r="H14" s="7"/>
      <c r="I14" s="8"/>
      <c r="J14" s="8" t="s">
        <v>25</v>
      </c>
      <c r="K14" s="8"/>
      <c r="L14" s="7" t="s">
        <v>25</v>
      </c>
      <c r="M14" s="7" t="s">
        <v>25</v>
      </c>
      <c r="N14" s="7"/>
      <c r="O14" s="8"/>
      <c r="P14" s="8"/>
      <c r="Q14" s="8"/>
      <c r="R14" s="8"/>
      <c r="S14" s="8"/>
      <c r="T14" s="8"/>
      <c r="U14" s="2">
        <f t="shared" si="0"/>
        <v>6</v>
      </c>
      <c r="W14" s="9" t="s">
        <v>41</v>
      </c>
    </row>
    <row r="15" spans="1:28">
      <c r="A15" s="5" t="s">
        <v>14</v>
      </c>
      <c r="B15" s="7"/>
      <c r="C15" s="7"/>
      <c r="D15" s="7"/>
      <c r="E15" s="8"/>
      <c r="F15" s="7" t="s">
        <v>25</v>
      </c>
      <c r="G15" s="7"/>
      <c r="H15" s="7"/>
      <c r="I15" s="8"/>
      <c r="J15" s="8" t="s">
        <v>25</v>
      </c>
      <c r="K15" s="8"/>
      <c r="L15" s="7"/>
      <c r="M15" s="7"/>
      <c r="N15" s="7" t="s">
        <v>25</v>
      </c>
      <c r="O15" s="7"/>
      <c r="P15" s="7"/>
      <c r="Q15" s="7"/>
      <c r="R15" s="7"/>
      <c r="S15" s="7"/>
      <c r="T15" s="7"/>
      <c r="U15" s="2">
        <f t="shared" si="0"/>
        <v>3</v>
      </c>
    </row>
    <row r="16" spans="1:28">
      <c r="A16" s="5" t="s">
        <v>15</v>
      </c>
      <c r="B16" s="7"/>
      <c r="C16" s="7"/>
      <c r="D16" s="7"/>
      <c r="E16" s="8" t="s">
        <v>25</v>
      </c>
      <c r="F16" s="7" t="s">
        <v>25</v>
      </c>
      <c r="G16" s="7" t="s">
        <v>25</v>
      </c>
      <c r="H16" s="7"/>
      <c r="I16" s="8"/>
      <c r="J16" s="8" t="s">
        <v>25</v>
      </c>
      <c r="K16" s="8"/>
      <c r="L16" s="7" t="s">
        <v>25</v>
      </c>
      <c r="M16" s="7" t="s">
        <v>25</v>
      </c>
      <c r="N16" s="7" t="s">
        <v>25</v>
      </c>
      <c r="O16" s="7"/>
      <c r="P16" s="8"/>
      <c r="Q16" s="8"/>
      <c r="R16" s="8"/>
      <c r="S16" s="8"/>
      <c r="T16" s="8"/>
      <c r="U16" s="2">
        <f t="shared" si="0"/>
        <v>7</v>
      </c>
    </row>
    <row r="17" spans="1:21">
      <c r="A17" s="5" t="s">
        <v>16</v>
      </c>
      <c r="B17" s="7"/>
      <c r="C17" s="7"/>
      <c r="D17" s="7"/>
      <c r="E17" s="8" t="s">
        <v>25</v>
      </c>
      <c r="F17" s="7" t="s">
        <v>25</v>
      </c>
      <c r="G17" s="7" t="s">
        <v>25</v>
      </c>
      <c r="H17" s="7"/>
      <c r="I17" s="8"/>
      <c r="J17" s="8" t="s">
        <v>25</v>
      </c>
      <c r="K17" s="8"/>
      <c r="L17" s="7" t="s">
        <v>25</v>
      </c>
      <c r="M17" s="7" t="s">
        <v>25</v>
      </c>
      <c r="N17" s="7" t="s">
        <v>25</v>
      </c>
      <c r="O17" s="7"/>
      <c r="P17" s="8" t="s">
        <v>25</v>
      </c>
      <c r="Q17" s="8"/>
      <c r="R17" s="8"/>
      <c r="S17" s="8"/>
      <c r="T17" s="8"/>
      <c r="U17" s="2">
        <f t="shared" si="0"/>
        <v>8</v>
      </c>
    </row>
    <row r="18" spans="1:21">
      <c r="A18" s="5" t="s">
        <v>17</v>
      </c>
      <c r="B18" s="7"/>
      <c r="C18" s="7"/>
      <c r="D18" s="7"/>
      <c r="E18" s="8" t="s">
        <v>25</v>
      </c>
      <c r="F18" s="7" t="s">
        <v>25</v>
      </c>
      <c r="G18" s="7" t="s">
        <v>25</v>
      </c>
      <c r="H18" s="7"/>
      <c r="I18" s="8"/>
      <c r="J18" s="8" t="s">
        <v>25</v>
      </c>
      <c r="K18" s="8"/>
      <c r="L18" s="7" t="s">
        <v>25</v>
      </c>
      <c r="M18" s="7" t="s">
        <v>25</v>
      </c>
      <c r="N18" s="7" t="s">
        <v>25</v>
      </c>
      <c r="O18" s="7"/>
      <c r="P18" s="8"/>
      <c r="Q18" s="8"/>
      <c r="R18" s="8"/>
      <c r="S18" s="8"/>
      <c r="T18" s="8"/>
      <c r="U18" s="2">
        <f t="shared" si="0"/>
        <v>7</v>
      </c>
    </row>
    <row r="19" spans="1:21">
      <c r="A19" s="5" t="s">
        <v>18</v>
      </c>
      <c r="B19" s="7" t="s">
        <v>25</v>
      </c>
      <c r="C19" s="7"/>
      <c r="D19" s="7"/>
      <c r="E19" s="8" t="s">
        <v>25</v>
      </c>
      <c r="F19" s="7" t="s">
        <v>25</v>
      </c>
      <c r="G19" s="7" t="s">
        <v>25</v>
      </c>
      <c r="H19" s="7"/>
      <c r="I19" s="8"/>
      <c r="J19" s="8" t="s">
        <v>25</v>
      </c>
      <c r="K19" s="8"/>
      <c r="L19" s="7" t="s">
        <v>25</v>
      </c>
      <c r="M19" s="7" t="s">
        <v>25</v>
      </c>
      <c r="N19" s="7" t="s">
        <v>25</v>
      </c>
      <c r="O19" s="7"/>
      <c r="P19" s="8" t="s">
        <v>25</v>
      </c>
      <c r="Q19" s="8"/>
      <c r="R19" s="8" t="s">
        <v>25</v>
      </c>
      <c r="S19" s="8"/>
      <c r="T19" s="8"/>
      <c r="U19" s="2">
        <f t="shared" si="0"/>
        <v>10</v>
      </c>
    </row>
    <row r="20" spans="1:21">
      <c r="A20" s="5" t="s">
        <v>19</v>
      </c>
      <c r="B20" s="7"/>
      <c r="C20" s="7"/>
      <c r="D20" s="7"/>
      <c r="E20" s="8" t="s">
        <v>25</v>
      </c>
      <c r="F20" s="7" t="s">
        <v>25</v>
      </c>
      <c r="G20" s="7" t="s">
        <v>25</v>
      </c>
      <c r="H20" s="7"/>
      <c r="I20" s="8"/>
      <c r="J20" s="8" t="s">
        <v>25</v>
      </c>
      <c r="K20" s="8"/>
      <c r="L20" s="7" t="s">
        <v>25</v>
      </c>
      <c r="M20" s="7" t="s">
        <v>25</v>
      </c>
      <c r="N20" s="7" t="s">
        <v>25</v>
      </c>
      <c r="O20" s="7"/>
      <c r="P20" s="8"/>
      <c r="Q20" s="8"/>
      <c r="R20" s="8" t="s">
        <v>25</v>
      </c>
      <c r="S20" s="8"/>
      <c r="T20" s="8"/>
      <c r="U20" s="2">
        <f>COUNTIF(B20:T20, "x")</f>
        <v>8</v>
      </c>
    </row>
    <row r="21" spans="1:21">
      <c r="A21" s="4" t="s">
        <v>42</v>
      </c>
      <c r="B21" s="2">
        <f>COUNTIF(B2:B20, "x")</f>
        <v>2</v>
      </c>
      <c r="C21" s="2">
        <f t="shared" ref="C21:S21" si="1">COUNTIF(C2:C20, "x")</f>
        <v>1</v>
      </c>
      <c r="D21" s="2">
        <f t="shared" si="1"/>
        <v>1</v>
      </c>
      <c r="E21" s="2">
        <f t="shared" si="1"/>
        <v>12</v>
      </c>
      <c r="F21" s="2">
        <f t="shared" si="1"/>
        <v>11</v>
      </c>
      <c r="G21" s="2">
        <f t="shared" si="1"/>
        <v>12</v>
      </c>
      <c r="H21" s="2">
        <f t="shared" si="1"/>
        <v>1</v>
      </c>
      <c r="I21" s="2">
        <f t="shared" si="1"/>
        <v>1</v>
      </c>
      <c r="J21" s="2">
        <f t="shared" si="1"/>
        <v>12</v>
      </c>
      <c r="K21" s="2">
        <f t="shared" si="1"/>
        <v>0</v>
      </c>
      <c r="L21" s="2">
        <f t="shared" si="1"/>
        <v>10</v>
      </c>
      <c r="M21" s="2">
        <f t="shared" si="1"/>
        <v>10</v>
      </c>
      <c r="N21" s="2">
        <f t="shared" si="1"/>
        <v>8</v>
      </c>
      <c r="O21" s="2">
        <f t="shared" si="1"/>
        <v>2</v>
      </c>
      <c r="P21" s="2">
        <f t="shared" si="1"/>
        <v>4</v>
      </c>
      <c r="Q21" s="2">
        <f t="shared" si="1"/>
        <v>2</v>
      </c>
      <c r="R21" s="2">
        <f t="shared" si="1"/>
        <v>4</v>
      </c>
      <c r="S21" s="2">
        <f t="shared" si="1"/>
        <v>2</v>
      </c>
      <c r="T21" s="2">
        <f>COUNTIF(T2:T20, "x")</f>
        <v>2</v>
      </c>
      <c r="U21" s="2">
        <f>COUNTIF(B21:T21, "x")</f>
        <v>0</v>
      </c>
    </row>
    <row r="22" spans="1:21">
      <c r="F22" s="1"/>
    </row>
    <row r="23" spans="1:21">
      <c r="F23" s="1"/>
    </row>
    <row r="24" spans="1:21">
      <c r="A24" s="3" t="s">
        <v>43</v>
      </c>
      <c r="F24" s="1"/>
    </row>
    <row r="25" spans="1:21">
      <c r="A25" s="3" t="s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Marius M</dc:creator>
  <cp:keywords/>
  <dc:description/>
  <cp:lastModifiedBy>Gastbenutzer</cp:lastModifiedBy>
  <cp:revision/>
  <dcterms:created xsi:type="dcterms:W3CDTF">2026-05-19T11:24:35Z</dcterms:created>
  <dcterms:modified xsi:type="dcterms:W3CDTF">2026-05-20T08:42:57Z</dcterms:modified>
  <cp:category/>
  <cp:contentStatus/>
</cp:coreProperties>
</file>